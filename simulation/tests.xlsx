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CavoL0o7JeSnGt1r-6x-hoRF-2XLJo9D\Mini Projet EC\Bosco\Complet\"/>
    </mc:Choice>
  </mc:AlternateContent>
  <xr:revisionPtr revIDLastSave="0" documentId="13_ncr:1_{07FFEC34-1C79-45D6-8952-3F8D6D24AC31}" xr6:coauthVersionLast="47" xr6:coauthVersionMax="47" xr10:uidLastSave="{00000000-0000-0000-0000-000000000000}"/>
  <bookViews>
    <workbookView xWindow="20" yWindow="270" windowWidth="19180" windowHeight="9810" xr2:uid="{BD2428E7-B69A-494F-ADCC-142A1AA0F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2" i="1" l="1"/>
  <c r="K23" i="1"/>
  <c r="K24" i="1"/>
  <c r="K25" i="1"/>
  <c r="K26" i="1"/>
  <c r="K27" i="1"/>
  <c r="K28" i="1"/>
  <c r="K29" i="1"/>
  <c r="K30" i="1"/>
  <c r="K31" i="1"/>
  <c r="K32" i="1"/>
  <c r="K33" i="1"/>
  <c r="K34" i="1"/>
  <c r="K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21" i="1"/>
  <c r="E34" i="1"/>
  <c r="E33" i="1"/>
  <c r="E32" i="1"/>
  <c r="E31" i="1"/>
  <c r="E22" i="1"/>
  <c r="E23" i="1"/>
  <c r="E24" i="1"/>
  <c r="E25" i="1"/>
  <c r="E26" i="1"/>
  <c r="E27" i="1"/>
  <c r="E28" i="1"/>
  <c r="E29" i="1"/>
  <c r="E30" i="1"/>
  <c r="E21" i="1"/>
</calcChain>
</file>

<file path=xl/sharedStrings.xml><?xml version="1.0" encoding="utf-8"?>
<sst xmlns="http://schemas.openxmlformats.org/spreadsheetml/2006/main" count="33" uniqueCount="23">
  <si>
    <t>Input Impedance</t>
  </si>
  <si>
    <t>Théorique</t>
  </si>
  <si>
    <t>Simulé</t>
  </si>
  <si>
    <t>pratique</t>
  </si>
  <si>
    <t>J1</t>
  </si>
  <si>
    <t>Amp1</t>
  </si>
  <si>
    <t>Amp2</t>
  </si>
  <si>
    <t>J2</t>
  </si>
  <si>
    <t>output Impedance</t>
  </si>
  <si>
    <t>1M</t>
  </si>
  <si>
    <t>900k</t>
  </si>
  <si>
    <t>1.8k</t>
  </si>
  <si>
    <t>Avec les condensateurs sans charges</t>
  </si>
  <si>
    <t>8.4k</t>
  </si>
  <si>
    <t>500k</t>
  </si>
  <si>
    <t>4.6k</t>
  </si>
  <si>
    <t>11.8k</t>
  </si>
  <si>
    <t>Gain</t>
  </si>
  <si>
    <t>fréquence</t>
  </si>
  <si>
    <t>entrée</t>
  </si>
  <si>
    <t>sortie de villard</t>
  </si>
  <si>
    <t>dB</t>
  </si>
  <si>
    <t>sortie avant villard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</si>
</sst>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Gain(dB) après villard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Sheet1!$F$21:$F$34</c:f>
              <c:numCache>
                <c:formatCode>General</c:formatCode>
                <c:ptCount val="14"/>
                <c:pt idx="0">
                  <c:v>20</c:v>
                </c:pt>
                <c:pt idx="1">
                  <c:v>32</c:v>
                </c:pt>
                <c:pt idx="2">
                  <c:v>53</c:v>
                </c:pt>
                <c:pt idx="3">
                  <c:v>87</c:v>
                </c:pt>
                <c:pt idx="4">
                  <c:v>143</c:v>
                </c:pt>
                <c:pt idx="5">
                  <c:v>235</c:v>
                </c:pt>
                <c:pt idx="6">
                  <c:v>385</c:v>
                </c:pt>
                <c:pt idx="7">
                  <c:v>630</c:v>
                </c:pt>
                <c:pt idx="8">
                  <c:v>1000</c:v>
                </c:pt>
                <c:pt idx="9">
                  <c:v>1700</c:v>
                </c:pt>
                <c:pt idx="10">
                  <c:v>2700</c:v>
                </c:pt>
                <c:pt idx="11">
                  <c:v>4540</c:v>
                </c:pt>
                <c:pt idx="12">
                  <c:v>7430</c:v>
                </c:pt>
                <c:pt idx="13">
                  <c:v>20000</c:v>
                </c:pt>
              </c:numCache>
            </c:numRef>
          </c:xVal>
          <c:yVal>
            <c:numRef>
              <c:f>Sheet1!$G$21:$G$34</c:f>
              <c:numCache>
                <c:formatCode>General</c:formatCode>
                <c:ptCount val="14"/>
                <c:pt idx="0">
                  <c:v>49.035728710485806</c:v>
                </c:pt>
                <c:pt idx="1">
                  <c:v>49.771014330008889</c:v>
                </c:pt>
                <c:pt idx="2">
                  <c:v>50.290955053205721</c:v>
                </c:pt>
                <c:pt idx="3">
                  <c:v>50.277663712221852</c:v>
                </c:pt>
                <c:pt idx="4">
                  <c:v>49.785103367385204</c:v>
                </c:pt>
                <c:pt idx="5">
                  <c:v>49.542425094393252</c:v>
                </c:pt>
                <c:pt idx="6">
                  <c:v>49.527790062054635</c:v>
                </c:pt>
                <c:pt idx="7">
                  <c:v>49.381705982462407</c:v>
                </c:pt>
                <c:pt idx="8">
                  <c:v>49.439458219721672</c:v>
                </c:pt>
                <c:pt idx="9">
                  <c:v>49.411149704345483</c:v>
                </c:pt>
                <c:pt idx="10">
                  <c:v>49.774449298273289</c:v>
                </c:pt>
                <c:pt idx="11">
                  <c:v>49.731414249190777</c:v>
                </c:pt>
                <c:pt idx="12">
                  <c:v>49.831499681619235</c:v>
                </c:pt>
                <c:pt idx="13">
                  <c:v>49.88817779227648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A6-48A6-B3C3-F40FADD91FBB}"/>
            </c:ext>
          </c:extLst>
        </c:ser>
        <c:ser>
          <c:idx val="1"/>
          <c:order val="1"/>
          <c:tx>
            <c:v>Gain(dB) avant villard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Sheet1!$F$21:$F$34</c:f>
              <c:numCache>
                <c:formatCode>General</c:formatCode>
                <c:ptCount val="14"/>
                <c:pt idx="0">
                  <c:v>20</c:v>
                </c:pt>
                <c:pt idx="1">
                  <c:v>32</c:v>
                </c:pt>
                <c:pt idx="2">
                  <c:v>53</c:v>
                </c:pt>
                <c:pt idx="3">
                  <c:v>87</c:v>
                </c:pt>
                <c:pt idx="4">
                  <c:v>143</c:v>
                </c:pt>
                <c:pt idx="5">
                  <c:v>235</c:v>
                </c:pt>
                <c:pt idx="6">
                  <c:v>385</c:v>
                </c:pt>
                <c:pt idx="7">
                  <c:v>630</c:v>
                </c:pt>
                <c:pt idx="8">
                  <c:v>1000</c:v>
                </c:pt>
                <c:pt idx="9">
                  <c:v>1700</c:v>
                </c:pt>
                <c:pt idx="10">
                  <c:v>2700</c:v>
                </c:pt>
                <c:pt idx="11">
                  <c:v>4540</c:v>
                </c:pt>
                <c:pt idx="12">
                  <c:v>7430</c:v>
                </c:pt>
                <c:pt idx="13">
                  <c:v>20000</c:v>
                </c:pt>
              </c:numCache>
            </c:numRef>
          </c:xVal>
          <c:yVal>
            <c:numRef>
              <c:f>Sheet1!$K$21:$K$34</c:f>
              <c:numCache>
                <c:formatCode>General</c:formatCode>
                <c:ptCount val="14"/>
                <c:pt idx="0">
                  <c:v>48.659385817488115</c:v>
                </c:pt>
                <c:pt idx="1">
                  <c:v>49.455128986344249</c:v>
                </c:pt>
                <c:pt idx="2">
                  <c:v>49.979987271603065</c:v>
                </c:pt>
                <c:pt idx="3">
                  <c:v>50.007474287067481</c:v>
                </c:pt>
                <c:pt idx="4">
                  <c:v>49.643173908225521</c:v>
                </c:pt>
                <c:pt idx="5">
                  <c:v>49.366946608243147</c:v>
                </c:pt>
                <c:pt idx="6">
                  <c:v>49.168941522670799</c:v>
                </c:pt>
                <c:pt idx="7">
                  <c:v>49.262922734526988</c:v>
                </c:pt>
                <c:pt idx="8">
                  <c:v>49.365155887767145</c:v>
                </c:pt>
                <c:pt idx="9">
                  <c:v>49.352162111672662</c:v>
                </c:pt>
                <c:pt idx="10">
                  <c:v>49.717021719571164</c:v>
                </c:pt>
                <c:pt idx="11">
                  <c:v>49.673700484441014</c:v>
                </c:pt>
                <c:pt idx="12">
                  <c:v>49.788747062222846</c:v>
                </c:pt>
                <c:pt idx="13">
                  <c:v>49.845703919679366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A6-48A6-B3C3-F40FADD91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137471"/>
        <c:axId val="860137951"/>
      </c:scatterChart>
      <c:valAx>
        <c:axId val="8601374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37951"/>
        <c:crosses val="autoZero"/>
        <c:crossBetween val="midCat"/>
      </c:valAx>
      <c:valAx>
        <c:axId val="860137951"/>
        <c:scaling>
          <c:orientation val="minMax"/>
          <c:min val="4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3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</xdr:rowOff>
    </xdr:from>
    <xdr:to>
      <xdr:col>3</xdr:col>
      <xdr:colOff>420384</xdr:colOff>
      <xdr:row>17</xdr:row>
      <xdr:rowOff>97693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AE118D-170C-79FD-5810-C9F335381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436" y="1791027"/>
          <a:ext cx="3007712" cy="13514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160514</xdr:colOff>
      <xdr:row>17</xdr:row>
      <xdr:rowOff>136000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59EBA8-ADB7-E249-022C-61695FC4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1724" y="1751724"/>
          <a:ext cx="3393966" cy="1362207"/>
        </a:xfrm>
        <a:prstGeom prst="rect">
          <a:avLst/>
        </a:prstGeom>
      </xdr:spPr>
    </xdr:pic>
    <xdr:clientData/>
  </xdr:twoCellAnchor>
  <xdr:twoCellAnchor>
    <xdr:from>
      <xdr:col>12</xdr:col>
      <xdr:colOff>326987</xdr:colOff>
      <xdr:row>19</xdr:row>
      <xdr:rowOff>61951</xdr:rowOff>
    </xdr:from>
    <xdr:to>
      <xdr:col>25</xdr:col>
      <xdr:colOff>402682</xdr:colOff>
      <xdr:row>36</xdr:row>
      <xdr:rowOff>14013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B904B4-5833-7178-DDA9-A6FDC55A1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52CF-3F19-4B39-ADE1-89BE2F9B8A08}">
  <dimension ref="B1:K34"/>
  <sheetViews>
    <sheetView tabSelected="1" topLeftCell="A9" zoomScale="56" workbookViewId="0">
      <selection activeCell="M39" sqref="M39"/>
    </sheetView>
  </sheetViews>
  <sheetFormatPr defaultRowHeight="14.5" x14ac:dyDescent="0.35"/>
  <cols>
    <col min="2" max="2" width="5.7265625" bestFit="1" customWidth="1"/>
    <col min="3" max="3" width="31.6328125" bestFit="1" customWidth="1"/>
    <col min="4" max="4" width="13.7265625" bestFit="1" customWidth="1"/>
    <col min="5" max="5" width="7.90625" bestFit="1" customWidth="1"/>
    <col min="6" max="6" width="9.26953125" bestFit="1" customWidth="1"/>
    <col min="8" max="8" width="5.7265625" bestFit="1" customWidth="1"/>
    <col min="9" max="9" width="16.26953125" bestFit="1" customWidth="1"/>
    <col min="10" max="10" width="7.26953125" bestFit="1" customWidth="1"/>
    <col min="11" max="11" width="7.90625" bestFit="1" customWidth="1"/>
  </cols>
  <sheetData>
    <row r="1" spans="2:11" x14ac:dyDescent="0.35">
      <c r="C1" t="s">
        <v>12</v>
      </c>
    </row>
    <row r="3" spans="2:11" x14ac:dyDescent="0.35">
      <c r="C3" t="s">
        <v>0</v>
      </c>
      <c r="I3" t="s">
        <v>8</v>
      </c>
    </row>
    <row r="4" spans="2:11" x14ac:dyDescent="0.35">
      <c r="C4" t="s">
        <v>1</v>
      </c>
      <c r="D4" t="s">
        <v>2</v>
      </c>
      <c r="E4" t="s">
        <v>3</v>
      </c>
      <c r="I4" t="s">
        <v>1</v>
      </c>
      <c r="J4" t="s">
        <v>2</v>
      </c>
      <c r="K4" t="s">
        <v>3</v>
      </c>
    </row>
    <row r="5" spans="2:11" x14ac:dyDescent="0.35">
      <c r="B5" t="s">
        <v>4</v>
      </c>
      <c r="C5" t="s">
        <v>9</v>
      </c>
      <c r="D5" t="s">
        <v>10</v>
      </c>
      <c r="H5" t="s">
        <v>4</v>
      </c>
      <c r="I5">
        <v>135</v>
      </c>
      <c r="J5">
        <v>134</v>
      </c>
    </row>
    <row r="6" spans="2:11" x14ac:dyDescent="0.35">
      <c r="B6" t="s">
        <v>5</v>
      </c>
      <c r="C6">
        <v>1900</v>
      </c>
      <c r="D6" t="s">
        <v>11</v>
      </c>
      <c r="E6">
        <v>1150</v>
      </c>
      <c r="H6" t="s">
        <v>5</v>
      </c>
      <c r="I6">
        <v>4300</v>
      </c>
      <c r="J6" t="s">
        <v>15</v>
      </c>
    </row>
    <row r="7" spans="2:11" x14ac:dyDescent="0.35">
      <c r="B7" t="s">
        <v>6</v>
      </c>
      <c r="C7">
        <v>8366</v>
      </c>
      <c r="D7" t="s">
        <v>13</v>
      </c>
      <c r="H7" t="s">
        <v>6</v>
      </c>
      <c r="I7">
        <v>10900</v>
      </c>
      <c r="J7" t="s">
        <v>16</v>
      </c>
    </row>
    <row r="8" spans="2:11" x14ac:dyDescent="0.35">
      <c r="B8" t="s">
        <v>7</v>
      </c>
      <c r="C8" t="s">
        <v>14</v>
      </c>
      <c r="D8" t="s">
        <v>14</v>
      </c>
      <c r="H8" t="s">
        <v>7</v>
      </c>
      <c r="I8">
        <v>67</v>
      </c>
      <c r="J8">
        <v>140</v>
      </c>
      <c r="K8">
        <v>132</v>
      </c>
    </row>
    <row r="20" spans="3:11" x14ac:dyDescent="0.35">
      <c r="C20" t="s">
        <v>19</v>
      </c>
      <c r="D20" t="s">
        <v>20</v>
      </c>
      <c r="E20" t="s">
        <v>17</v>
      </c>
      <c r="F20" t="s">
        <v>18</v>
      </c>
      <c r="G20" t="s">
        <v>21</v>
      </c>
      <c r="I20" t="s">
        <v>22</v>
      </c>
      <c r="J20" t="s">
        <v>17</v>
      </c>
      <c r="K20" t="s">
        <v>21</v>
      </c>
    </row>
    <row r="21" spans="3:11" x14ac:dyDescent="0.35">
      <c r="C21">
        <v>0.02</v>
      </c>
      <c r="D21">
        <v>5.66</v>
      </c>
      <c r="E21">
        <f>D21/C21</f>
        <v>283</v>
      </c>
      <c r="F21">
        <v>20</v>
      </c>
      <c r="G21">
        <f>20*LOG10(E21)</f>
        <v>49.035728710485806</v>
      </c>
      <c r="I21">
        <v>5.42</v>
      </c>
      <c r="J21">
        <f>I21/C21</f>
        <v>271</v>
      </c>
      <c r="K21">
        <f>20*LOG10(J21)</f>
        <v>48.659385817488115</v>
      </c>
    </row>
    <row r="22" spans="3:11" x14ac:dyDescent="0.35">
      <c r="C22">
        <v>0.02</v>
      </c>
      <c r="D22">
        <v>6.16</v>
      </c>
      <c r="E22">
        <f t="shared" ref="E22:E34" si="0">D22/C22</f>
        <v>308</v>
      </c>
      <c r="F22">
        <v>32</v>
      </c>
      <c r="G22">
        <f t="shared" ref="G22:G34" si="1">20*LOG10(E22)</f>
        <v>49.771014330008889</v>
      </c>
      <c r="I22">
        <v>5.94</v>
      </c>
      <c r="J22">
        <f t="shared" ref="J22:J34" si="2">I22/C22</f>
        <v>297</v>
      </c>
      <c r="K22">
        <f t="shared" ref="K22:K34" si="3">20*LOG10(J22)</f>
        <v>49.455128986344249</v>
      </c>
    </row>
    <row r="23" spans="3:11" x14ac:dyDescent="0.35">
      <c r="C23">
        <v>0.02</v>
      </c>
      <c r="D23">
        <v>6.54</v>
      </c>
      <c r="E23">
        <f t="shared" si="0"/>
        <v>327</v>
      </c>
      <c r="F23">
        <v>53</v>
      </c>
      <c r="G23">
        <f t="shared" si="1"/>
        <v>50.290955053205721</v>
      </c>
      <c r="I23">
        <v>6.31</v>
      </c>
      <c r="J23">
        <f t="shared" si="2"/>
        <v>315.5</v>
      </c>
      <c r="K23">
        <f t="shared" si="3"/>
        <v>49.979987271603065</v>
      </c>
    </row>
    <row r="24" spans="3:11" x14ac:dyDescent="0.35">
      <c r="C24">
        <v>0.02</v>
      </c>
      <c r="D24">
        <v>6.53</v>
      </c>
      <c r="E24">
        <f t="shared" si="0"/>
        <v>326.5</v>
      </c>
      <c r="F24">
        <v>87</v>
      </c>
      <c r="G24">
        <f t="shared" si="1"/>
        <v>50.277663712221852</v>
      </c>
      <c r="I24">
        <v>6.33</v>
      </c>
      <c r="J24">
        <f t="shared" si="2"/>
        <v>316.5</v>
      </c>
      <c r="K24">
        <f t="shared" si="3"/>
        <v>50.007474287067481</v>
      </c>
    </row>
    <row r="25" spans="3:11" x14ac:dyDescent="0.35">
      <c r="C25">
        <v>0.02</v>
      </c>
      <c r="D25">
        <v>6.17</v>
      </c>
      <c r="E25">
        <f t="shared" si="0"/>
        <v>308.5</v>
      </c>
      <c r="F25">
        <v>143</v>
      </c>
      <c r="G25">
        <f t="shared" si="1"/>
        <v>49.785103367385204</v>
      </c>
      <c r="I25">
        <v>6.07</v>
      </c>
      <c r="J25">
        <f t="shared" si="2"/>
        <v>303.5</v>
      </c>
      <c r="K25">
        <f t="shared" si="3"/>
        <v>49.643173908225521</v>
      </c>
    </row>
    <row r="26" spans="3:11" x14ac:dyDescent="0.35">
      <c r="C26">
        <v>0.02</v>
      </c>
      <c r="D26">
        <v>6</v>
      </c>
      <c r="E26">
        <f t="shared" si="0"/>
        <v>300</v>
      </c>
      <c r="F26">
        <v>235</v>
      </c>
      <c r="G26">
        <f t="shared" si="1"/>
        <v>49.542425094393252</v>
      </c>
      <c r="I26">
        <v>5.88</v>
      </c>
      <c r="J26">
        <f t="shared" si="2"/>
        <v>294</v>
      </c>
      <c r="K26">
        <f t="shared" si="3"/>
        <v>49.366946608243147</v>
      </c>
    </row>
    <row r="27" spans="3:11" x14ac:dyDescent="0.35">
      <c r="C27">
        <v>1.9800000000000002E-2</v>
      </c>
      <c r="D27">
        <v>5.93</v>
      </c>
      <c r="E27">
        <f t="shared" si="0"/>
        <v>299.49494949494948</v>
      </c>
      <c r="F27">
        <v>385</v>
      </c>
      <c r="G27">
        <f t="shared" si="1"/>
        <v>49.527790062054635</v>
      </c>
      <c r="I27">
        <v>5.69</v>
      </c>
      <c r="J27">
        <f t="shared" si="2"/>
        <v>287.37373737373736</v>
      </c>
      <c r="K27">
        <f t="shared" si="3"/>
        <v>49.168941522670799</v>
      </c>
    </row>
    <row r="28" spans="3:11" x14ac:dyDescent="0.35">
      <c r="C28">
        <v>0.02</v>
      </c>
      <c r="D28">
        <v>5.89</v>
      </c>
      <c r="E28">
        <f t="shared" si="0"/>
        <v>294.5</v>
      </c>
      <c r="F28">
        <v>630</v>
      </c>
      <c r="G28">
        <f t="shared" si="1"/>
        <v>49.381705982462407</v>
      </c>
      <c r="I28">
        <v>5.81</v>
      </c>
      <c r="J28">
        <f t="shared" si="2"/>
        <v>290.5</v>
      </c>
      <c r="K28">
        <f t="shared" si="3"/>
        <v>49.262922734526988</v>
      </c>
    </row>
    <row r="29" spans="3:11" x14ac:dyDescent="0.35">
      <c r="C29">
        <v>1.9800000000000002E-2</v>
      </c>
      <c r="D29">
        <v>5.87</v>
      </c>
      <c r="E29">
        <f t="shared" si="0"/>
        <v>296.46464646464642</v>
      </c>
      <c r="F29">
        <v>1000</v>
      </c>
      <c r="G29">
        <f t="shared" si="1"/>
        <v>49.439458219721672</v>
      </c>
      <c r="I29">
        <v>5.82</v>
      </c>
      <c r="J29">
        <f t="shared" si="2"/>
        <v>293.93939393939394</v>
      </c>
      <c r="K29">
        <f t="shared" si="3"/>
        <v>49.365155887767145</v>
      </c>
    </row>
    <row r="30" spans="3:11" x14ac:dyDescent="0.35">
      <c r="C30">
        <v>0.02</v>
      </c>
      <c r="D30">
        <v>5.91</v>
      </c>
      <c r="E30">
        <f t="shared" si="0"/>
        <v>295.5</v>
      </c>
      <c r="F30">
        <v>1700</v>
      </c>
      <c r="G30">
        <f t="shared" si="1"/>
        <v>49.411149704345483</v>
      </c>
      <c r="I30">
        <v>5.87</v>
      </c>
      <c r="J30">
        <f t="shared" si="2"/>
        <v>293.5</v>
      </c>
      <c r="K30">
        <f t="shared" si="3"/>
        <v>49.352162111672662</v>
      </c>
    </row>
    <row r="31" spans="3:11" x14ac:dyDescent="0.35">
      <c r="C31">
        <v>1.9699999999999999E-2</v>
      </c>
      <c r="D31">
        <v>6.07</v>
      </c>
      <c r="E31">
        <f t="shared" si="0"/>
        <v>308.12182741116754</v>
      </c>
      <c r="F31">
        <v>2700</v>
      </c>
      <c r="G31">
        <f t="shared" si="1"/>
        <v>49.774449298273289</v>
      </c>
      <c r="I31">
        <v>6.03</v>
      </c>
      <c r="J31">
        <f t="shared" si="2"/>
        <v>306.09137055837567</v>
      </c>
      <c r="K31">
        <f t="shared" si="3"/>
        <v>49.717021719571164</v>
      </c>
    </row>
    <row r="32" spans="3:11" x14ac:dyDescent="0.35">
      <c r="C32">
        <v>1.9699999999999999E-2</v>
      </c>
      <c r="D32">
        <v>6.04</v>
      </c>
      <c r="E32">
        <f t="shared" si="0"/>
        <v>306.59898477157361</v>
      </c>
      <c r="F32">
        <v>4540</v>
      </c>
      <c r="G32">
        <f t="shared" si="1"/>
        <v>49.731414249190777</v>
      </c>
      <c r="I32">
        <v>6</v>
      </c>
      <c r="J32">
        <f t="shared" si="2"/>
        <v>304.56852791878174</v>
      </c>
      <c r="K32">
        <f t="shared" si="3"/>
        <v>49.673700484441014</v>
      </c>
    </row>
    <row r="33" spans="3:11" x14ac:dyDescent="0.35">
      <c r="C33">
        <v>1.9699999999999999E-2</v>
      </c>
      <c r="D33">
        <v>6.11</v>
      </c>
      <c r="E33">
        <f t="shared" si="0"/>
        <v>310.15228426395942</v>
      </c>
      <c r="F33">
        <v>7430</v>
      </c>
      <c r="G33">
        <f t="shared" si="1"/>
        <v>49.831499681619235</v>
      </c>
      <c r="I33">
        <v>6.08</v>
      </c>
      <c r="J33">
        <f t="shared" si="2"/>
        <v>308.62944162436548</v>
      </c>
      <c r="K33">
        <f t="shared" si="3"/>
        <v>49.788747062222846</v>
      </c>
    </row>
    <row r="34" spans="3:11" x14ac:dyDescent="0.35">
      <c r="C34">
        <v>1.9699999999999999E-2</v>
      </c>
      <c r="D34">
        <v>6.15</v>
      </c>
      <c r="E34">
        <f t="shared" si="0"/>
        <v>312.18274111675129</v>
      </c>
      <c r="F34">
        <v>20000</v>
      </c>
      <c r="G34">
        <f t="shared" si="1"/>
        <v>49.88817779227648</v>
      </c>
      <c r="I34">
        <v>6.12</v>
      </c>
      <c r="J34">
        <f t="shared" si="2"/>
        <v>310.65989847715741</v>
      </c>
      <c r="K34">
        <f t="shared" si="3"/>
        <v>49.845703919679366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Mac Aonghusa</dc:creator>
  <cp:lastModifiedBy>Gavin Mac Aonghusa</cp:lastModifiedBy>
  <dcterms:created xsi:type="dcterms:W3CDTF">2026-05-21T12:03:09Z</dcterms:created>
  <dcterms:modified xsi:type="dcterms:W3CDTF">2026-05-22T06:04:15Z</dcterms:modified>
</cp:coreProperties>
</file>